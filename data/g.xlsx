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<sst xmlns="http://schemas.openxmlformats.org/spreadsheetml/2006/main" count="131" uniqueCount="49">
  <si>
    <t>基金代码</t>
  </si>
  <si>
    <t>005827</t>
  </si>
  <si>
    <t>日期（蓝筹）</t>
  </si>
  <si>
    <t>份额</t>
  </si>
  <si>
    <t>购买净值</t>
  </si>
  <si>
    <t>盈收利率</t>
  </si>
  <si>
    <t>盈收金额</t>
  </si>
  <si>
    <t>日期（兴全）</t>
  </si>
  <si>
    <t>日期（富国）</t>
  </si>
  <si>
    <t>日期（汇添）</t>
  </si>
  <si>
    <t>2024.01.23</t>
  </si>
  <si>
    <t>2022.12.23</t>
  </si>
  <si>
    <t>2022.10.28</t>
  </si>
  <si>
    <t>2022.07.14</t>
  </si>
  <si>
    <t>2022.03.15</t>
  </si>
  <si>
    <t>2022.03.09</t>
  </si>
  <si>
    <t>2022.03.07</t>
  </si>
  <si>
    <t>2022.03.03</t>
  </si>
  <si>
    <t>2022.02.24</t>
  </si>
  <si>
    <t>2022.02.07</t>
  </si>
  <si>
    <t>2022.01.27</t>
  </si>
  <si>
    <t>2021.12.20</t>
  </si>
  <si>
    <t>2021.12.29</t>
  </si>
  <si>
    <t>2021.12.17</t>
  </si>
  <si>
    <t>2021.12.15</t>
  </si>
  <si>
    <t>2021.11.10</t>
  </si>
  <si>
    <t>2021.11.02</t>
  </si>
  <si>
    <t>2021.08.20</t>
  </si>
  <si>
    <t>2021.08.17</t>
  </si>
  <si>
    <t>2021.08.16</t>
  </si>
  <si>
    <t>2021.07.26</t>
  </si>
  <si>
    <t>2021.07.05</t>
  </si>
  <si>
    <t>2021.06.21</t>
  </si>
  <si>
    <t>2021.06.16</t>
  </si>
  <si>
    <t>2021.06.08</t>
  </si>
  <si>
    <t>2021.06.15</t>
  </si>
  <si>
    <t>2021.05.07</t>
  </si>
  <si>
    <t>2021.04.12</t>
  </si>
  <si>
    <t>2021.06.03</t>
  </si>
  <si>
    <t>2021.03.24</t>
  </si>
  <si>
    <t>2021.05.21</t>
  </si>
  <si>
    <t>2021.03.19</t>
  </si>
  <si>
    <t>2021.03.04</t>
  </si>
  <si>
    <t>2021.02.26</t>
  </si>
  <si>
    <t>2021.02.24</t>
  </si>
  <si>
    <t>2021.02.22</t>
  </si>
  <si>
    <t>2021.02.18</t>
  </si>
  <si>
    <t>2021.02.19</t>
  </si>
  <si>
    <t>2025.06.06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</si>
</sst>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10" fontId="0" fillId="0" borderId="0" xfId="0" applyNumberFormat="1"/>
    <xf numFmtId="4" fontId="0" fillId="0" borderId="0" xfId="0" applyNumberFormat="1"/>
    <xf numFmtId="0" fontId="1" fillId="2" borderId="1" xfId="17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"/>
  <sheetViews>
    <sheetView tabSelected="1" topLeftCell="J1" workbookViewId="0">
      <selection activeCell="W1" sqref="W1"/>
    </sheetView>
  </sheetViews>
  <sheetFormatPr defaultColWidth="9" defaultRowHeight="14"/>
  <cols>
    <col min="1" max="1" width="11.125" customWidth="1"/>
    <col min="8" max="8" width="11" customWidth="1"/>
    <col min="15" max="15" width="10.75" customWidth="1"/>
    <col min="22" max="22" width="11.125" customWidth="1"/>
  </cols>
  <sheetData>
    <row r="1" spans="1:27">
      <c r="A1" t="s">
        <v>0</v>
      </c>
      <c r="B1" s="4" t="s">
        <v>1</v>
      </c>
      <c r="H1" t="s">
        <v>0</v>
      </c>
      <c r="I1">
        <v>163417</v>
      </c>
      <c r="O1" t="s">
        <v>0</v>
      </c>
      <c r="P1">
        <v>161005</v>
      </c>
      <c r="V1" t="s">
        <v>0</v>
      </c>
      <c r="W1">
        <v>519069</v>
      </c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1.891</v>
      </c>
      <c r="H2" t="s">
        <v>7</v>
      </c>
      <c r="I2" t="s">
        <v>3</v>
      </c>
      <c r="J2" t="s">
        <v>4</v>
      </c>
      <c r="K2" t="s">
        <v>5</v>
      </c>
      <c r="L2" t="s">
        <v>6</v>
      </c>
      <c r="M2">
        <v>2.1082</v>
      </c>
      <c r="O2" t="s">
        <v>8</v>
      </c>
      <c r="P2" t="s">
        <v>3</v>
      </c>
      <c r="Q2" t="s">
        <v>4</v>
      </c>
      <c r="R2" t="s">
        <v>5</v>
      </c>
      <c r="S2" t="s">
        <v>6</v>
      </c>
      <c r="T2">
        <v>3.253</v>
      </c>
      <c r="V2" t="s">
        <v>9</v>
      </c>
      <c r="W2" t="s">
        <v>3</v>
      </c>
      <c r="X2" t="s">
        <v>4</v>
      </c>
      <c r="Y2" t="s">
        <v>5</v>
      </c>
      <c r="Z2" t="s">
        <v>6</v>
      </c>
      <c r="AA2">
        <v>3.253</v>
      </c>
    </row>
    <row r="3" spans="1:27">
      <c r="A3" t="s">
        <v>10</v>
      </c>
      <c r="B3">
        <v>6359.48</v>
      </c>
      <c r="C3">
        <v>1.5701</v>
      </c>
      <c r="D3" s="1">
        <f>(F2-C3)/C3</f>
        <v>0.204381886504044</v>
      </c>
      <c r="E3">
        <f>(F2-C3)*B3</f>
        <v>2040.757132</v>
      </c>
      <c r="F3">
        <f>F2</f>
        <v>1.891</v>
      </c>
      <c r="K3" s="1"/>
      <c r="M3">
        <f>M2</f>
        <v>2.1082</v>
      </c>
      <c r="O3" t="s">
        <v>11</v>
      </c>
      <c r="P3">
        <v>3845.87</v>
      </c>
      <c r="Q3">
        <v>2.5963</v>
      </c>
      <c r="R3" s="1">
        <f>(T2-Q3)/Q3</f>
        <v>0.252936871702038</v>
      </c>
      <c r="S3">
        <f>(T2-Q3)*P3</f>
        <v>2525.582829</v>
      </c>
      <c r="T3">
        <f>T2</f>
        <v>3.253</v>
      </c>
      <c r="V3" t="s">
        <v>11</v>
      </c>
      <c r="W3">
        <v>3776.48</v>
      </c>
      <c r="X3">
        <v>2.644</v>
      </c>
      <c r="Y3" s="1">
        <f>(AA2-X3)/X3</f>
        <v>0.230332829046899</v>
      </c>
      <c r="Z3">
        <f>(AA2-X3)*W3</f>
        <v>2299.87632</v>
      </c>
      <c r="AA3">
        <f>AA2</f>
        <v>3.253</v>
      </c>
    </row>
    <row r="4" spans="1:27">
      <c r="A4" t="s">
        <v>12</v>
      </c>
      <c r="B4">
        <v>6122.77</v>
      </c>
      <c r="C4">
        <v>1.6308</v>
      </c>
      <c r="D4" s="1">
        <f t="shared" ref="D4:D36" si="0">(F3-C4)/C4</f>
        <v>0.159553593328428</v>
      </c>
      <c r="E4">
        <f t="shared" ref="E4:E36" si="1">(F3-C4)*B4</f>
        <v>1593.144754</v>
      </c>
      <c r="F4">
        <f t="shared" ref="F4:F36" si="2">F3</f>
        <v>1.891</v>
      </c>
      <c r="H4" t="s">
        <v>13</v>
      </c>
      <c r="I4">
        <v>2496.72</v>
      </c>
      <c r="J4">
        <v>1.5997</v>
      </c>
      <c r="K4" s="1">
        <f t="shared" ref="K4:K17" si="3">(M3-J4)/J4</f>
        <v>0.317872101018941</v>
      </c>
      <c r="L4">
        <f t="shared" ref="L4:L35" si="4">(M3-J4)*I4</f>
        <v>1269.58212</v>
      </c>
      <c r="M4">
        <f t="shared" ref="M4:M17" si="5">M3</f>
        <v>2.1082</v>
      </c>
      <c r="O4" t="s">
        <v>12</v>
      </c>
      <c r="P4">
        <v>4022.49</v>
      </c>
      <c r="Q4">
        <v>2.4823</v>
      </c>
      <c r="R4" s="1">
        <f t="shared" ref="R4:R31" si="6">(T3-Q4)/Q4</f>
        <v>0.31047818555372</v>
      </c>
      <c r="S4">
        <f t="shared" ref="S4:S31" si="7">(T3-Q4)*P4</f>
        <v>3100.133043</v>
      </c>
      <c r="T4">
        <f t="shared" ref="T4:T31" si="8">T3</f>
        <v>3.253</v>
      </c>
      <c r="V4" t="s">
        <v>12</v>
      </c>
      <c r="W4">
        <v>3886.73</v>
      </c>
      <c r="X4">
        <v>2.569</v>
      </c>
      <c r="Y4" s="1">
        <f t="shared" ref="Y4:Y31" si="9">(AA3-X4)/X4</f>
        <v>0.26625145971195</v>
      </c>
      <c r="Z4">
        <f t="shared" ref="Z4:Z31" si="10">(AA3-X4)*W4</f>
        <v>2658.52332</v>
      </c>
      <c r="AA4">
        <f t="shared" ref="AA4:AA31" si="11">AA3</f>
        <v>3.253</v>
      </c>
    </row>
    <row r="5" spans="1:27">
      <c r="A5" t="s">
        <v>14</v>
      </c>
      <c r="B5" s="2">
        <v>4085.52</v>
      </c>
      <c r="C5">
        <v>1.9552</v>
      </c>
      <c r="D5" s="1">
        <f t="shared" si="0"/>
        <v>-0.0328355155482815</v>
      </c>
      <c r="E5">
        <f t="shared" si="1"/>
        <v>-262.290384</v>
      </c>
      <c r="F5">
        <f t="shared" si="2"/>
        <v>1.891</v>
      </c>
      <c r="H5" t="s">
        <v>14</v>
      </c>
      <c r="I5">
        <v>2797.91</v>
      </c>
      <c r="J5">
        <v>1.4275</v>
      </c>
      <c r="K5" s="1">
        <f t="shared" si="3"/>
        <v>0.476847635726795</v>
      </c>
      <c r="L5">
        <f t="shared" si="4"/>
        <v>1904.537337</v>
      </c>
      <c r="M5">
        <f t="shared" si="5"/>
        <v>2.1082</v>
      </c>
      <c r="O5" t="s">
        <v>14</v>
      </c>
      <c r="P5">
        <v>1495.77</v>
      </c>
      <c r="Q5">
        <v>2.6702</v>
      </c>
      <c r="R5" s="1">
        <f t="shared" si="6"/>
        <v>0.218260804434125</v>
      </c>
      <c r="S5">
        <f t="shared" si="7"/>
        <v>871.734756</v>
      </c>
      <c r="T5">
        <f t="shared" si="8"/>
        <v>3.253</v>
      </c>
      <c r="V5" t="s">
        <v>14</v>
      </c>
      <c r="W5">
        <v>1358.04</v>
      </c>
      <c r="X5">
        <v>2.941</v>
      </c>
      <c r="Y5" s="1">
        <f t="shared" si="9"/>
        <v>0.106086365181911</v>
      </c>
      <c r="Z5">
        <f t="shared" si="10"/>
        <v>423.70848</v>
      </c>
      <c r="AA5">
        <f t="shared" si="11"/>
        <v>3.253</v>
      </c>
    </row>
    <row r="6" spans="1:27">
      <c r="A6" t="s">
        <v>15</v>
      </c>
      <c r="B6">
        <v>932.13</v>
      </c>
      <c r="C6">
        <v>2.1424</v>
      </c>
      <c r="D6" s="1">
        <f t="shared" si="0"/>
        <v>-0.117345033607169</v>
      </c>
      <c r="E6">
        <f t="shared" si="1"/>
        <v>-234.337482</v>
      </c>
      <c r="F6">
        <f t="shared" si="2"/>
        <v>1.891</v>
      </c>
      <c r="H6" t="s">
        <v>15</v>
      </c>
      <c r="I6">
        <v>2561.74</v>
      </c>
      <c r="J6">
        <v>1.5591</v>
      </c>
      <c r="K6" s="1">
        <f t="shared" si="3"/>
        <v>0.352190366236932</v>
      </c>
      <c r="L6">
        <f t="shared" si="4"/>
        <v>1406.651434</v>
      </c>
      <c r="M6">
        <f t="shared" si="5"/>
        <v>2.1082</v>
      </c>
      <c r="O6" t="s">
        <v>15</v>
      </c>
      <c r="P6">
        <v>701.44</v>
      </c>
      <c r="Q6">
        <v>2.847</v>
      </c>
      <c r="R6" s="1">
        <f t="shared" si="6"/>
        <v>0.142606252195293</v>
      </c>
      <c r="S6">
        <f t="shared" si="7"/>
        <v>284.78464</v>
      </c>
      <c r="T6">
        <f t="shared" si="8"/>
        <v>3.253</v>
      </c>
      <c r="V6" t="s">
        <v>15</v>
      </c>
      <c r="W6">
        <v>634.17</v>
      </c>
      <c r="X6">
        <v>3.149</v>
      </c>
      <c r="Y6" s="1">
        <f t="shared" si="9"/>
        <v>0.033026357573833</v>
      </c>
      <c r="Z6">
        <f t="shared" si="10"/>
        <v>65.95368</v>
      </c>
      <c r="AA6">
        <f t="shared" si="11"/>
        <v>3.253</v>
      </c>
    </row>
    <row r="7" spans="1:27">
      <c r="A7" t="s">
        <v>16</v>
      </c>
      <c r="B7">
        <v>920.87</v>
      </c>
      <c r="C7">
        <v>2.1686</v>
      </c>
      <c r="D7" s="1">
        <f t="shared" si="0"/>
        <v>-0.128008853638292</v>
      </c>
      <c r="E7">
        <f t="shared" si="1"/>
        <v>-255.633512</v>
      </c>
      <c r="F7">
        <f t="shared" si="2"/>
        <v>1.891</v>
      </c>
      <c r="H7" t="s">
        <v>16</v>
      </c>
      <c r="I7" s="2">
        <v>3863.6</v>
      </c>
      <c r="J7">
        <v>1.6217</v>
      </c>
      <c r="K7" s="1">
        <f t="shared" si="3"/>
        <v>0.299993833631375</v>
      </c>
      <c r="L7">
        <f t="shared" si="4"/>
        <v>1879.6414</v>
      </c>
      <c r="M7">
        <f t="shared" si="5"/>
        <v>2.1082</v>
      </c>
      <c r="O7" t="s">
        <v>16</v>
      </c>
      <c r="P7">
        <v>686.42</v>
      </c>
      <c r="Q7">
        <v>2.9093</v>
      </c>
      <c r="R7" s="1">
        <f t="shared" si="6"/>
        <v>0.118138383803664</v>
      </c>
      <c r="S7">
        <f t="shared" si="7"/>
        <v>235.922554</v>
      </c>
      <c r="T7">
        <f t="shared" si="8"/>
        <v>3.253</v>
      </c>
      <c r="V7" t="s">
        <v>16</v>
      </c>
      <c r="W7">
        <v>622.12</v>
      </c>
      <c r="X7">
        <v>3.21</v>
      </c>
      <c r="Y7" s="1">
        <f t="shared" si="9"/>
        <v>0.0133956386292835</v>
      </c>
      <c r="Z7">
        <f t="shared" si="10"/>
        <v>26.7511600000001</v>
      </c>
      <c r="AA7">
        <f t="shared" si="11"/>
        <v>3.253</v>
      </c>
    </row>
    <row r="8" spans="1:27">
      <c r="A8" t="s">
        <v>17</v>
      </c>
      <c r="B8">
        <v>863.49</v>
      </c>
      <c r="C8">
        <v>2.3127</v>
      </c>
      <c r="D8" s="1">
        <f t="shared" si="0"/>
        <v>-0.182340986725472</v>
      </c>
      <c r="E8">
        <f t="shared" si="1"/>
        <v>-364.133733</v>
      </c>
      <c r="F8">
        <f t="shared" si="2"/>
        <v>1.891</v>
      </c>
      <c r="H8" t="s">
        <v>17</v>
      </c>
      <c r="I8">
        <v>1170.23</v>
      </c>
      <c r="J8">
        <v>1.7065</v>
      </c>
      <c r="K8" s="1">
        <f t="shared" si="3"/>
        <v>0.235394081453267</v>
      </c>
      <c r="L8">
        <f t="shared" si="4"/>
        <v>470.081391</v>
      </c>
      <c r="M8">
        <f t="shared" si="5"/>
        <v>2.1082</v>
      </c>
      <c r="O8" t="s">
        <v>17</v>
      </c>
      <c r="P8">
        <v>653.92</v>
      </c>
      <c r="Q8">
        <v>3.0539</v>
      </c>
      <c r="R8" s="1">
        <f t="shared" si="6"/>
        <v>0.0651953240119192</v>
      </c>
      <c r="S8">
        <f t="shared" si="7"/>
        <v>130.195472</v>
      </c>
      <c r="T8">
        <f t="shared" si="8"/>
        <v>3.253</v>
      </c>
      <c r="V8" t="s">
        <v>17</v>
      </c>
      <c r="W8">
        <v>594.52</v>
      </c>
      <c r="X8">
        <v>3.359</v>
      </c>
      <c r="Y8" s="1">
        <f t="shared" si="9"/>
        <v>-0.0315570110151831</v>
      </c>
      <c r="Z8">
        <f t="shared" si="10"/>
        <v>-63.0191199999999</v>
      </c>
      <c r="AA8">
        <f t="shared" si="11"/>
        <v>3.253</v>
      </c>
    </row>
    <row r="9" spans="1:27">
      <c r="A9" t="s">
        <v>18</v>
      </c>
      <c r="B9">
        <v>851.02</v>
      </c>
      <c r="C9">
        <v>2.3466</v>
      </c>
      <c r="D9" s="1">
        <f t="shared" si="0"/>
        <v>-0.194153242989858</v>
      </c>
      <c r="E9">
        <f t="shared" si="1"/>
        <v>-387.724712</v>
      </c>
      <c r="F9">
        <f t="shared" si="2"/>
        <v>1.891</v>
      </c>
      <c r="H9" t="s">
        <v>18</v>
      </c>
      <c r="I9">
        <v>1161.65</v>
      </c>
      <c r="J9">
        <v>1.7191</v>
      </c>
      <c r="K9" s="1">
        <f t="shared" si="3"/>
        <v>0.226339363620499</v>
      </c>
      <c r="L9">
        <f t="shared" si="4"/>
        <v>451.998015</v>
      </c>
      <c r="M9">
        <f t="shared" si="5"/>
        <v>2.1082</v>
      </c>
      <c r="O9" t="s">
        <v>18</v>
      </c>
      <c r="P9">
        <v>652.29</v>
      </c>
      <c r="Q9">
        <v>3.0615</v>
      </c>
      <c r="R9" s="1">
        <f t="shared" si="6"/>
        <v>0.0625510370733301</v>
      </c>
      <c r="S9">
        <f t="shared" si="7"/>
        <v>124.913535</v>
      </c>
      <c r="T9">
        <f t="shared" si="8"/>
        <v>3.253</v>
      </c>
      <c r="V9" t="s">
        <v>18</v>
      </c>
      <c r="W9">
        <v>590.48</v>
      </c>
      <c r="X9">
        <v>3.382</v>
      </c>
      <c r="Y9" s="1">
        <f t="shared" si="9"/>
        <v>-0.0381431105854524</v>
      </c>
      <c r="Z9">
        <f t="shared" si="10"/>
        <v>-76.17192</v>
      </c>
      <c r="AA9">
        <f t="shared" si="11"/>
        <v>3.253</v>
      </c>
    </row>
    <row r="10" spans="1:27">
      <c r="A10" t="s">
        <v>19</v>
      </c>
      <c r="B10">
        <v>1621.14</v>
      </c>
      <c r="C10">
        <v>2.4637</v>
      </c>
      <c r="D10" s="1">
        <f t="shared" si="0"/>
        <v>-0.232455250233389</v>
      </c>
      <c r="E10">
        <f t="shared" si="1"/>
        <v>-928.426878</v>
      </c>
      <c r="F10">
        <f t="shared" si="2"/>
        <v>1.891</v>
      </c>
      <c r="H10" t="s">
        <v>19</v>
      </c>
      <c r="I10">
        <v>2271.52</v>
      </c>
      <c r="J10">
        <v>1.7583</v>
      </c>
      <c r="K10" s="1">
        <f t="shared" si="3"/>
        <v>0.198999033157027</v>
      </c>
      <c r="L10">
        <f t="shared" si="4"/>
        <v>794.804848</v>
      </c>
      <c r="M10">
        <f t="shared" si="5"/>
        <v>2.1082</v>
      </c>
      <c r="O10" t="s">
        <v>20</v>
      </c>
      <c r="P10">
        <v>1244.43</v>
      </c>
      <c r="Q10">
        <v>3.2095</v>
      </c>
      <c r="R10" s="1">
        <f t="shared" si="6"/>
        <v>0.0135535130082568</v>
      </c>
      <c r="S10">
        <f t="shared" si="7"/>
        <v>54.1327050000004</v>
      </c>
      <c r="T10">
        <f t="shared" si="8"/>
        <v>3.253</v>
      </c>
      <c r="V10" t="s">
        <v>20</v>
      </c>
      <c r="W10" s="2">
        <v>1137.56</v>
      </c>
      <c r="X10">
        <v>3.511</v>
      </c>
      <c r="Y10" s="1">
        <f t="shared" si="9"/>
        <v>-0.073483338080319</v>
      </c>
      <c r="Z10">
        <f t="shared" si="10"/>
        <v>-293.49048</v>
      </c>
      <c r="AA10">
        <f t="shared" si="11"/>
        <v>3.253</v>
      </c>
    </row>
    <row r="11" spans="1:27">
      <c r="A11" t="s">
        <v>21</v>
      </c>
      <c r="B11">
        <v>770.06</v>
      </c>
      <c r="C11">
        <v>2.5933</v>
      </c>
      <c r="D11" s="1">
        <f t="shared" si="0"/>
        <v>-0.270813249527629</v>
      </c>
      <c r="E11">
        <f t="shared" si="1"/>
        <v>-540.813138</v>
      </c>
      <c r="F11">
        <f t="shared" si="2"/>
        <v>1.891</v>
      </c>
      <c r="H11" t="s">
        <v>21</v>
      </c>
      <c r="I11">
        <v>1051.66</v>
      </c>
      <c r="J11">
        <v>1.8989</v>
      </c>
      <c r="K11" s="1">
        <f t="shared" si="3"/>
        <v>0.110221707304229</v>
      </c>
      <c r="L11">
        <f t="shared" si="4"/>
        <v>220.112438</v>
      </c>
      <c r="M11">
        <f t="shared" si="5"/>
        <v>2.1082</v>
      </c>
      <c r="O11" t="s">
        <v>22</v>
      </c>
      <c r="P11">
        <v>577.94</v>
      </c>
      <c r="Q11">
        <v>3.4554</v>
      </c>
      <c r="R11" s="1">
        <f t="shared" si="6"/>
        <v>-0.0585749840828847</v>
      </c>
      <c r="S11">
        <f t="shared" si="7"/>
        <v>-116.975056</v>
      </c>
      <c r="T11">
        <f t="shared" si="8"/>
        <v>3.253</v>
      </c>
      <c r="V11" t="s">
        <v>22</v>
      </c>
      <c r="W11">
        <v>537.7</v>
      </c>
      <c r="X11">
        <v>3.714</v>
      </c>
      <c r="Y11" s="1">
        <f t="shared" si="9"/>
        <v>-0.12412493268713</v>
      </c>
      <c r="Z11">
        <f t="shared" si="10"/>
        <v>-247.8797</v>
      </c>
      <c r="AA11">
        <f t="shared" si="11"/>
        <v>3.253</v>
      </c>
    </row>
    <row r="12" spans="1:27">
      <c r="A12" t="s">
        <v>23</v>
      </c>
      <c r="B12">
        <v>765.6</v>
      </c>
      <c r="C12">
        <v>2.6084</v>
      </c>
      <c r="D12" s="1">
        <f t="shared" si="0"/>
        <v>-0.275034503910443</v>
      </c>
      <c r="E12">
        <f t="shared" si="1"/>
        <v>-549.24144</v>
      </c>
      <c r="F12">
        <f t="shared" si="2"/>
        <v>1.891</v>
      </c>
      <c r="H12" t="s">
        <v>23</v>
      </c>
      <c r="I12">
        <v>1031.3</v>
      </c>
      <c r="J12">
        <v>1.9364</v>
      </c>
      <c r="K12" s="1">
        <f t="shared" si="3"/>
        <v>0.088721338566412</v>
      </c>
      <c r="L12">
        <f t="shared" si="4"/>
        <v>177.17734</v>
      </c>
      <c r="M12">
        <f t="shared" si="5"/>
        <v>2.1082</v>
      </c>
      <c r="O12" t="s">
        <v>21</v>
      </c>
      <c r="P12">
        <v>579.93</v>
      </c>
      <c r="Q12">
        <v>3.4435</v>
      </c>
      <c r="R12" s="1">
        <f t="shared" si="6"/>
        <v>-0.0553216204443153</v>
      </c>
      <c r="S12">
        <f t="shared" si="7"/>
        <v>-110.476665</v>
      </c>
      <c r="T12">
        <f t="shared" si="8"/>
        <v>3.253</v>
      </c>
      <c r="V12" t="s">
        <v>21</v>
      </c>
      <c r="W12">
        <v>538.42</v>
      </c>
      <c r="X12">
        <v>3.709</v>
      </c>
      <c r="Y12" s="1">
        <f t="shared" si="9"/>
        <v>-0.122944189808574</v>
      </c>
      <c r="Z12">
        <f t="shared" si="10"/>
        <v>-245.51952</v>
      </c>
      <c r="AA12">
        <f t="shared" si="11"/>
        <v>3.253</v>
      </c>
    </row>
    <row r="13" spans="1:27">
      <c r="A13" t="s">
        <v>24</v>
      </c>
      <c r="B13">
        <v>746.68</v>
      </c>
      <c r="C13">
        <v>2.6745</v>
      </c>
      <c r="D13" s="1">
        <f t="shared" si="0"/>
        <v>-0.292951953636194</v>
      </c>
      <c r="E13">
        <f t="shared" si="1"/>
        <v>-585.02378</v>
      </c>
      <c r="F13">
        <f t="shared" si="2"/>
        <v>1.891</v>
      </c>
      <c r="H13" t="s">
        <v>24</v>
      </c>
      <c r="I13">
        <v>1020.91</v>
      </c>
      <c r="J13">
        <v>1.9561</v>
      </c>
      <c r="K13" s="1">
        <f t="shared" si="3"/>
        <v>0.0777567609017945</v>
      </c>
      <c r="L13">
        <f t="shared" si="4"/>
        <v>155.280411</v>
      </c>
      <c r="M13">
        <f t="shared" si="5"/>
        <v>2.1082</v>
      </c>
      <c r="O13" t="s">
        <v>23</v>
      </c>
      <c r="P13">
        <v>572.11</v>
      </c>
      <c r="Q13">
        <v>3.4906</v>
      </c>
      <c r="R13" s="1">
        <f t="shared" si="6"/>
        <v>-0.0680685269008194</v>
      </c>
      <c r="S13">
        <f t="shared" si="7"/>
        <v>-135.933336</v>
      </c>
      <c r="T13">
        <f t="shared" si="8"/>
        <v>3.253</v>
      </c>
      <c r="V13" t="s">
        <v>23</v>
      </c>
      <c r="W13">
        <v>529.99</v>
      </c>
      <c r="X13">
        <v>3.768</v>
      </c>
      <c r="Y13" s="1">
        <f t="shared" si="9"/>
        <v>-0.136677282377919</v>
      </c>
      <c r="Z13">
        <f t="shared" si="10"/>
        <v>-272.94485</v>
      </c>
      <c r="AA13">
        <f t="shared" si="11"/>
        <v>3.253</v>
      </c>
    </row>
    <row r="14" spans="1:27">
      <c r="A14" t="s">
        <v>25</v>
      </c>
      <c r="B14">
        <v>778.35</v>
      </c>
      <c r="C14">
        <v>2.5657</v>
      </c>
      <c r="D14" s="1">
        <f t="shared" si="0"/>
        <v>-0.262969170206961</v>
      </c>
      <c r="E14">
        <f t="shared" si="1"/>
        <v>-525.152745</v>
      </c>
      <c r="F14">
        <f t="shared" si="2"/>
        <v>1.891</v>
      </c>
      <c r="H14" t="s">
        <v>25</v>
      </c>
      <c r="I14">
        <v>1033.59</v>
      </c>
      <c r="J14">
        <v>1.9321</v>
      </c>
      <c r="K14" s="1">
        <f t="shared" si="3"/>
        <v>0.0911443507064852</v>
      </c>
      <c r="L14">
        <f t="shared" si="4"/>
        <v>182.015199</v>
      </c>
      <c r="M14">
        <f t="shared" si="5"/>
        <v>2.1082</v>
      </c>
      <c r="O14" t="s">
        <v>24</v>
      </c>
      <c r="P14">
        <v>566.35</v>
      </c>
      <c r="Q14">
        <v>3.5261</v>
      </c>
      <c r="R14" s="1">
        <f t="shared" si="6"/>
        <v>-0.0774510081960239</v>
      </c>
      <c r="S14">
        <f t="shared" si="7"/>
        <v>-154.670185</v>
      </c>
      <c r="T14">
        <f t="shared" si="8"/>
        <v>3.253</v>
      </c>
      <c r="V14" t="s">
        <v>24</v>
      </c>
      <c r="W14">
        <v>524.97</v>
      </c>
      <c r="X14">
        <v>3.804</v>
      </c>
      <c r="Y14" s="1">
        <f t="shared" si="9"/>
        <v>-0.144847528916929</v>
      </c>
      <c r="Z14">
        <f t="shared" si="10"/>
        <v>-289.25847</v>
      </c>
      <c r="AA14">
        <f t="shared" si="11"/>
        <v>3.253</v>
      </c>
    </row>
    <row r="15" spans="1:27">
      <c r="A15" t="s">
        <v>26</v>
      </c>
      <c r="B15">
        <v>773.01</v>
      </c>
      <c r="C15">
        <v>2.5834</v>
      </c>
      <c r="D15" s="1">
        <f t="shared" si="0"/>
        <v>-0.268018889835101</v>
      </c>
      <c r="E15">
        <f t="shared" si="1"/>
        <v>-535.232124</v>
      </c>
      <c r="F15">
        <f t="shared" si="2"/>
        <v>1.891</v>
      </c>
      <c r="H15" t="s">
        <v>26</v>
      </c>
      <c r="I15">
        <v>1053.71</v>
      </c>
      <c r="J15">
        <v>1.8952</v>
      </c>
      <c r="K15" s="1">
        <f t="shared" si="3"/>
        <v>0.112389193752638</v>
      </c>
      <c r="L15">
        <f t="shared" si="4"/>
        <v>224.44023</v>
      </c>
      <c r="M15">
        <f t="shared" si="5"/>
        <v>2.1082</v>
      </c>
      <c r="O15" t="s">
        <v>25</v>
      </c>
      <c r="P15">
        <v>592.27</v>
      </c>
      <c r="Q15">
        <v>3.3718</v>
      </c>
      <c r="R15" s="1">
        <f t="shared" si="6"/>
        <v>-0.0352334064891155</v>
      </c>
      <c r="S15">
        <f t="shared" si="7"/>
        <v>-70.3616759999999</v>
      </c>
      <c r="T15">
        <f t="shared" si="8"/>
        <v>3.253</v>
      </c>
      <c r="V15" t="s">
        <v>25</v>
      </c>
      <c r="W15">
        <v>547.42</v>
      </c>
      <c r="X15">
        <v>3.648</v>
      </c>
      <c r="Y15" s="1">
        <f t="shared" si="9"/>
        <v>-0.10827850877193</v>
      </c>
      <c r="Z15">
        <f t="shared" si="10"/>
        <v>-216.2309</v>
      </c>
      <c r="AA15">
        <f t="shared" si="11"/>
        <v>3.253</v>
      </c>
    </row>
    <row r="16" spans="1:27">
      <c r="A16" t="s">
        <v>27</v>
      </c>
      <c r="B16">
        <v>830.73</v>
      </c>
      <c r="C16">
        <v>2.4039</v>
      </c>
      <c r="D16" s="1">
        <f t="shared" si="0"/>
        <v>-0.213361620699696</v>
      </c>
      <c r="E16">
        <f t="shared" si="1"/>
        <v>-426.081417</v>
      </c>
      <c r="F16">
        <f t="shared" si="2"/>
        <v>1.891</v>
      </c>
      <c r="H16" t="s">
        <v>27</v>
      </c>
      <c r="I16" s="2">
        <v>2138.68</v>
      </c>
      <c r="J16">
        <v>1.8675</v>
      </c>
      <c r="K16" s="1">
        <f t="shared" si="3"/>
        <v>0.128888888888889</v>
      </c>
      <c r="L16">
        <f t="shared" si="4"/>
        <v>514.780276</v>
      </c>
      <c r="M16">
        <f t="shared" si="5"/>
        <v>2.1082</v>
      </c>
      <c r="O16" t="s">
        <v>26</v>
      </c>
      <c r="P16">
        <v>589.89</v>
      </c>
      <c r="Q16">
        <v>3.3854</v>
      </c>
      <c r="R16" s="1">
        <f t="shared" si="6"/>
        <v>-0.0391091156141077</v>
      </c>
      <c r="S16">
        <f t="shared" si="7"/>
        <v>-78.101436</v>
      </c>
      <c r="T16">
        <f t="shared" si="8"/>
        <v>3.253</v>
      </c>
      <c r="V16" t="s">
        <v>26</v>
      </c>
      <c r="W16">
        <v>538.71</v>
      </c>
      <c r="X16">
        <v>3.707</v>
      </c>
      <c r="Y16" s="1">
        <f t="shared" si="9"/>
        <v>-0.12247100080928</v>
      </c>
      <c r="Z16">
        <f t="shared" si="10"/>
        <v>-244.57434</v>
      </c>
      <c r="AA16">
        <f t="shared" si="11"/>
        <v>3.253</v>
      </c>
    </row>
    <row r="17" spans="1:27">
      <c r="A17" t="s">
        <v>28</v>
      </c>
      <c r="B17">
        <v>802.43</v>
      </c>
      <c r="C17">
        <v>2.4887</v>
      </c>
      <c r="D17" s="1">
        <f t="shared" si="0"/>
        <v>-0.240165548278218</v>
      </c>
      <c r="E17">
        <f t="shared" si="1"/>
        <v>-479.612411</v>
      </c>
      <c r="F17">
        <f t="shared" si="2"/>
        <v>1.891</v>
      </c>
      <c r="H17" t="s">
        <v>28</v>
      </c>
      <c r="I17">
        <v>1054.66</v>
      </c>
      <c r="J17">
        <v>1.8935</v>
      </c>
      <c r="K17" s="1">
        <f t="shared" si="3"/>
        <v>0.113387905994191</v>
      </c>
      <c r="L17">
        <f t="shared" si="4"/>
        <v>226.435502</v>
      </c>
      <c r="M17">
        <f t="shared" si="5"/>
        <v>2.1082</v>
      </c>
      <c r="O17" t="s">
        <v>27</v>
      </c>
      <c r="P17">
        <v>589.64</v>
      </c>
      <c r="Q17">
        <v>3.3868</v>
      </c>
      <c r="R17" s="1">
        <f t="shared" si="6"/>
        <v>-0.0395063186488721</v>
      </c>
      <c r="S17">
        <f t="shared" si="7"/>
        <v>-78.8938319999999</v>
      </c>
      <c r="T17">
        <f t="shared" si="8"/>
        <v>3.253</v>
      </c>
      <c r="V17" t="s">
        <v>27</v>
      </c>
      <c r="W17">
        <v>564.28</v>
      </c>
      <c r="X17">
        <v>3.539</v>
      </c>
      <c r="Y17" s="1">
        <f t="shared" si="9"/>
        <v>-0.0808137892059904</v>
      </c>
      <c r="Z17">
        <f t="shared" si="10"/>
        <v>-161.38408</v>
      </c>
      <c r="AA17">
        <f t="shared" si="11"/>
        <v>3.253</v>
      </c>
    </row>
    <row r="18" spans="1:27">
      <c r="A18" t="s">
        <v>29</v>
      </c>
      <c r="B18">
        <v>776.5</v>
      </c>
      <c r="C18">
        <v>2.5718</v>
      </c>
      <c r="D18" s="1">
        <f t="shared" si="0"/>
        <v>-0.264717318609534</v>
      </c>
      <c r="E18">
        <f t="shared" si="1"/>
        <v>-528.6412</v>
      </c>
      <c r="F18">
        <f t="shared" si="2"/>
        <v>1.891</v>
      </c>
      <c r="L18">
        <f t="shared" si="4"/>
        <v>0</v>
      </c>
      <c r="O18" t="s">
        <v>28</v>
      </c>
      <c r="P18">
        <v>584.74</v>
      </c>
      <c r="Q18">
        <v>3.4152</v>
      </c>
      <c r="R18" s="1">
        <f t="shared" si="6"/>
        <v>-0.0474935582103537</v>
      </c>
      <c r="S18">
        <f t="shared" si="7"/>
        <v>-94.8448279999999</v>
      </c>
      <c r="T18">
        <f t="shared" si="8"/>
        <v>3.253</v>
      </c>
      <c r="V18" t="s">
        <v>28</v>
      </c>
      <c r="W18">
        <v>556.27</v>
      </c>
      <c r="X18">
        <v>3.59</v>
      </c>
      <c r="Y18" s="1">
        <f t="shared" si="9"/>
        <v>-0.0938718662952646</v>
      </c>
      <c r="Z18">
        <f t="shared" si="10"/>
        <v>-187.46299</v>
      </c>
      <c r="AA18">
        <f t="shared" si="11"/>
        <v>3.253</v>
      </c>
    </row>
    <row r="19" spans="1:27">
      <c r="A19" t="s">
        <v>30</v>
      </c>
      <c r="B19">
        <v>744.87</v>
      </c>
      <c r="C19">
        <v>2.681</v>
      </c>
      <c r="D19" s="1">
        <f t="shared" si="0"/>
        <v>-0.294666169339799</v>
      </c>
      <c r="E19">
        <f t="shared" si="1"/>
        <v>-588.4473</v>
      </c>
      <c r="F19">
        <f t="shared" si="2"/>
        <v>1.891</v>
      </c>
      <c r="L19">
        <f t="shared" si="4"/>
        <v>0</v>
      </c>
      <c r="O19" t="s">
        <v>30</v>
      </c>
      <c r="P19">
        <v>568.25</v>
      </c>
      <c r="Q19">
        <v>3.5143</v>
      </c>
      <c r="R19" s="1">
        <f t="shared" si="6"/>
        <v>-0.0743533562871695</v>
      </c>
      <c r="S19">
        <f t="shared" si="7"/>
        <v>-148.483725</v>
      </c>
      <c r="T19">
        <f t="shared" si="8"/>
        <v>3.253</v>
      </c>
      <c r="V19" t="s">
        <v>30</v>
      </c>
      <c r="W19">
        <v>265.07</v>
      </c>
      <c r="X19">
        <v>3.767</v>
      </c>
      <c r="Y19" s="1">
        <f t="shared" si="9"/>
        <v>-0.136448101937882</v>
      </c>
      <c r="Z19">
        <f t="shared" si="10"/>
        <v>-136.24598</v>
      </c>
      <c r="AA19">
        <f t="shared" si="11"/>
        <v>3.253</v>
      </c>
    </row>
    <row r="20" spans="1:27">
      <c r="A20" t="s">
        <v>31</v>
      </c>
      <c r="B20">
        <v>586.78</v>
      </c>
      <c r="C20">
        <v>2.8928</v>
      </c>
      <c r="D20" s="1">
        <f t="shared" si="0"/>
        <v>-0.346308075221239</v>
      </c>
      <c r="E20">
        <f t="shared" si="1"/>
        <v>-587.836204</v>
      </c>
      <c r="F20">
        <f t="shared" si="2"/>
        <v>1.891</v>
      </c>
      <c r="L20">
        <f t="shared" si="4"/>
        <v>0</v>
      </c>
      <c r="O20" t="s">
        <v>32</v>
      </c>
      <c r="P20">
        <v>560.09</v>
      </c>
      <c r="Q20">
        <v>3.5655</v>
      </c>
      <c r="R20" s="1">
        <f t="shared" si="6"/>
        <v>-0.0876454915159164</v>
      </c>
      <c r="S20">
        <f t="shared" si="7"/>
        <v>-175.028125</v>
      </c>
      <c r="T20">
        <f t="shared" si="8"/>
        <v>3.253</v>
      </c>
      <c r="V20" t="s">
        <v>32</v>
      </c>
      <c r="W20">
        <v>509.05</v>
      </c>
      <c r="X20">
        <v>3.923</v>
      </c>
      <c r="Y20" s="1">
        <f t="shared" si="9"/>
        <v>-0.170787662503186</v>
      </c>
      <c r="Z20">
        <f t="shared" si="10"/>
        <v>-341.0635</v>
      </c>
      <c r="AA20">
        <f t="shared" si="11"/>
        <v>3.253</v>
      </c>
    </row>
    <row r="21" spans="1:27">
      <c r="A21" t="s">
        <v>32</v>
      </c>
      <c r="B21">
        <v>675.03</v>
      </c>
      <c r="C21">
        <v>2.9584</v>
      </c>
      <c r="D21" s="1">
        <f t="shared" si="0"/>
        <v>-0.360803136830719</v>
      </c>
      <c r="E21">
        <f t="shared" si="1"/>
        <v>-720.527022</v>
      </c>
      <c r="F21">
        <f t="shared" si="2"/>
        <v>1.891</v>
      </c>
      <c r="L21">
        <f t="shared" si="4"/>
        <v>0</v>
      </c>
      <c r="O21" t="s">
        <v>33</v>
      </c>
      <c r="P21">
        <v>565.86</v>
      </c>
      <c r="Q21">
        <v>3.5292</v>
      </c>
      <c r="R21" s="1">
        <f t="shared" si="6"/>
        <v>-0.0782613623484075</v>
      </c>
      <c r="S21">
        <f t="shared" si="7"/>
        <v>-156.290532</v>
      </c>
      <c r="T21">
        <f t="shared" si="8"/>
        <v>3.253</v>
      </c>
      <c r="V21" t="s">
        <v>33</v>
      </c>
      <c r="W21">
        <v>384.53</v>
      </c>
      <c r="X21">
        <v>3.895</v>
      </c>
      <c r="Y21" s="1">
        <f t="shared" si="9"/>
        <v>-0.164826700898588</v>
      </c>
      <c r="Z21">
        <f t="shared" si="10"/>
        <v>-246.86826</v>
      </c>
      <c r="AA21">
        <f t="shared" si="11"/>
        <v>3.253</v>
      </c>
    </row>
    <row r="22" spans="1:27">
      <c r="A22" t="s">
        <v>33</v>
      </c>
      <c r="B22">
        <v>673.21</v>
      </c>
      <c r="C22">
        <v>2.9664</v>
      </c>
      <c r="D22" s="1">
        <f t="shared" si="0"/>
        <v>-0.362526968716289</v>
      </c>
      <c r="E22">
        <f t="shared" si="1"/>
        <v>-723.970034</v>
      </c>
      <c r="F22">
        <f t="shared" si="2"/>
        <v>1.891</v>
      </c>
      <c r="L22">
        <f t="shared" si="4"/>
        <v>0</v>
      </c>
      <c r="O22" t="s">
        <v>34</v>
      </c>
      <c r="P22">
        <v>275.29</v>
      </c>
      <c r="Q22">
        <v>3.6271</v>
      </c>
      <c r="R22" s="1">
        <f t="shared" si="6"/>
        <v>-0.103140249786331</v>
      </c>
      <c r="S22">
        <f t="shared" si="7"/>
        <v>-102.985989</v>
      </c>
      <c r="T22">
        <f t="shared" si="8"/>
        <v>3.253</v>
      </c>
      <c r="V22" t="s">
        <v>34</v>
      </c>
      <c r="W22">
        <v>250.5</v>
      </c>
      <c r="X22">
        <v>3.986</v>
      </c>
      <c r="Y22" s="1">
        <f t="shared" si="9"/>
        <v>-0.183893627696939</v>
      </c>
      <c r="Z22">
        <f t="shared" si="10"/>
        <v>-183.6165</v>
      </c>
      <c r="AA22">
        <f t="shared" si="11"/>
        <v>3.253</v>
      </c>
    </row>
    <row r="23" spans="1:27">
      <c r="A23" t="s">
        <v>35</v>
      </c>
      <c r="B23">
        <v>663.72</v>
      </c>
      <c r="C23">
        <v>3.0088</v>
      </c>
      <c r="D23" s="1">
        <f t="shared" si="0"/>
        <v>-0.371510236639192</v>
      </c>
      <c r="E23">
        <f t="shared" si="1"/>
        <v>-741.906216</v>
      </c>
      <c r="F23">
        <f t="shared" si="2"/>
        <v>1.891</v>
      </c>
      <c r="L23">
        <f t="shared" si="4"/>
        <v>0</v>
      </c>
      <c r="O23" t="s">
        <v>36</v>
      </c>
      <c r="P23">
        <v>285.6</v>
      </c>
      <c r="Q23">
        <v>3.4961</v>
      </c>
      <c r="R23" s="1">
        <f t="shared" si="6"/>
        <v>-0.0695346242956437</v>
      </c>
      <c r="S23">
        <f t="shared" si="7"/>
        <v>-69.42936</v>
      </c>
      <c r="T23">
        <f t="shared" si="8"/>
        <v>3.253</v>
      </c>
      <c r="V23" t="s">
        <v>36</v>
      </c>
      <c r="W23">
        <v>264.5</v>
      </c>
      <c r="X23">
        <v>3.775</v>
      </c>
      <c r="Y23" s="1">
        <f t="shared" si="9"/>
        <v>-0.138278145695364</v>
      </c>
      <c r="Z23">
        <f t="shared" si="10"/>
        <v>-138.069</v>
      </c>
      <c r="AA23">
        <f t="shared" si="11"/>
        <v>3.253</v>
      </c>
    </row>
    <row r="24" spans="1:27">
      <c r="A24" t="s">
        <v>34</v>
      </c>
      <c r="B24">
        <v>654.97</v>
      </c>
      <c r="C24">
        <v>3.049</v>
      </c>
      <c r="D24" s="1">
        <f t="shared" si="0"/>
        <v>-0.379796654640866</v>
      </c>
      <c r="E24">
        <f t="shared" si="1"/>
        <v>-758.45526</v>
      </c>
      <c r="F24">
        <f t="shared" si="2"/>
        <v>1.891</v>
      </c>
      <c r="I24" s="3"/>
      <c r="L24">
        <f t="shared" si="4"/>
        <v>0</v>
      </c>
      <c r="O24" t="s">
        <v>37</v>
      </c>
      <c r="P24">
        <v>881.21</v>
      </c>
      <c r="Q24">
        <v>3.3993</v>
      </c>
      <c r="R24" s="1">
        <f t="shared" si="6"/>
        <v>-0.0430382725855323</v>
      </c>
      <c r="S24">
        <f t="shared" si="7"/>
        <v>-128.921023</v>
      </c>
      <c r="T24">
        <f t="shared" si="8"/>
        <v>3.253</v>
      </c>
      <c r="V24" t="s">
        <v>37</v>
      </c>
      <c r="W24">
        <v>817.11</v>
      </c>
      <c r="X24">
        <v>3.666</v>
      </c>
      <c r="Y24" s="1">
        <f t="shared" si="9"/>
        <v>-0.1126568466994</v>
      </c>
      <c r="Z24">
        <f t="shared" si="10"/>
        <v>-337.46643</v>
      </c>
      <c r="AA24">
        <f t="shared" si="11"/>
        <v>3.253</v>
      </c>
    </row>
    <row r="25" spans="1:27">
      <c r="A25" t="s">
        <v>38</v>
      </c>
      <c r="B25">
        <v>639.67</v>
      </c>
      <c r="C25">
        <v>3.1219</v>
      </c>
      <c r="D25" s="1">
        <f t="shared" si="0"/>
        <v>-0.394279124891893</v>
      </c>
      <c r="E25">
        <f t="shared" si="1"/>
        <v>-787.369803</v>
      </c>
      <c r="F25">
        <f t="shared" si="2"/>
        <v>1.891</v>
      </c>
      <c r="L25">
        <f t="shared" si="4"/>
        <v>0</v>
      </c>
      <c r="O25" t="s">
        <v>39</v>
      </c>
      <c r="P25">
        <v>713.42</v>
      </c>
      <c r="Q25">
        <v>3.499</v>
      </c>
      <c r="R25" s="1">
        <f t="shared" si="6"/>
        <v>-0.0703058016576165</v>
      </c>
      <c r="S25">
        <f t="shared" si="7"/>
        <v>-175.50132</v>
      </c>
      <c r="T25">
        <f t="shared" si="8"/>
        <v>3.253</v>
      </c>
      <c r="V25" t="s">
        <v>39</v>
      </c>
      <c r="W25">
        <v>681.48</v>
      </c>
      <c r="X25">
        <v>3.663</v>
      </c>
      <c r="Y25" s="1">
        <f t="shared" si="9"/>
        <v>-0.111930111930112</v>
      </c>
      <c r="Z25">
        <f t="shared" si="10"/>
        <v>-279.4068</v>
      </c>
      <c r="AA25">
        <f t="shared" si="11"/>
        <v>3.253</v>
      </c>
    </row>
    <row r="26" spans="1:27">
      <c r="A26" t="s">
        <v>40</v>
      </c>
      <c r="B26">
        <v>676.08</v>
      </c>
      <c r="C26">
        <v>2.9538</v>
      </c>
      <c r="D26" s="1">
        <f t="shared" si="0"/>
        <v>-0.359807705328729</v>
      </c>
      <c r="E26">
        <f t="shared" si="1"/>
        <v>-718.537824</v>
      </c>
      <c r="F26">
        <f t="shared" si="2"/>
        <v>1.891</v>
      </c>
      <c r="L26">
        <f t="shared" si="4"/>
        <v>0</v>
      </c>
      <c r="O26" t="s">
        <v>41</v>
      </c>
      <c r="P26">
        <v>309.96</v>
      </c>
      <c r="Q26">
        <v>3.5435</v>
      </c>
      <c r="R26" s="1">
        <f t="shared" si="6"/>
        <v>-0.0819810921405389</v>
      </c>
      <c r="S26">
        <f t="shared" si="7"/>
        <v>-90.0433799999999</v>
      </c>
      <c r="T26">
        <f t="shared" si="8"/>
        <v>3.253</v>
      </c>
      <c r="V26" t="s">
        <v>41</v>
      </c>
      <c r="W26">
        <v>317.99</v>
      </c>
      <c r="X26">
        <v>3.768</v>
      </c>
      <c r="Y26" s="1">
        <f t="shared" si="9"/>
        <v>-0.136677282377919</v>
      </c>
      <c r="Z26">
        <f t="shared" si="10"/>
        <v>-163.76485</v>
      </c>
      <c r="AA26">
        <f t="shared" si="11"/>
        <v>3.253</v>
      </c>
    </row>
    <row r="27" spans="1:27">
      <c r="A27" t="s">
        <v>36</v>
      </c>
      <c r="B27">
        <v>698.32</v>
      </c>
      <c r="C27">
        <v>2.8597</v>
      </c>
      <c r="D27" s="1">
        <f t="shared" si="0"/>
        <v>-0.338741826065671</v>
      </c>
      <c r="E27">
        <f t="shared" si="1"/>
        <v>-676.462584</v>
      </c>
      <c r="F27">
        <f t="shared" si="2"/>
        <v>1.891</v>
      </c>
      <c r="L27">
        <f t="shared" si="4"/>
        <v>0</v>
      </c>
      <c r="O27" t="s">
        <v>42</v>
      </c>
      <c r="P27">
        <v>535.65</v>
      </c>
      <c r="Q27">
        <v>3.7282</v>
      </c>
      <c r="R27" s="1">
        <f t="shared" si="6"/>
        <v>-0.127460973123759</v>
      </c>
      <c r="S27">
        <f t="shared" si="7"/>
        <v>-254.54088</v>
      </c>
      <c r="T27">
        <f t="shared" si="8"/>
        <v>3.253</v>
      </c>
      <c r="V27" t="s">
        <v>42</v>
      </c>
      <c r="W27">
        <v>504.17</v>
      </c>
      <c r="X27">
        <v>3.961</v>
      </c>
      <c r="Y27" s="1">
        <f t="shared" si="9"/>
        <v>-0.178742741731886</v>
      </c>
      <c r="Z27">
        <f t="shared" si="10"/>
        <v>-356.95236</v>
      </c>
      <c r="AA27">
        <f t="shared" si="11"/>
        <v>3.253</v>
      </c>
    </row>
    <row r="28" spans="1:27">
      <c r="A28" t="s">
        <v>37</v>
      </c>
      <c r="B28">
        <v>713.11</v>
      </c>
      <c r="C28">
        <v>2.8004</v>
      </c>
      <c r="D28" s="1">
        <f t="shared" si="0"/>
        <v>-0.324739322953864</v>
      </c>
      <c r="E28">
        <f t="shared" si="1"/>
        <v>-648.502234</v>
      </c>
      <c r="F28">
        <f t="shared" si="2"/>
        <v>1.891</v>
      </c>
      <c r="L28">
        <f t="shared" si="4"/>
        <v>0</v>
      </c>
      <c r="O28" t="s">
        <v>43</v>
      </c>
      <c r="P28">
        <v>528.96</v>
      </c>
      <c r="Q28">
        <v>3.7753</v>
      </c>
      <c r="R28" s="1">
        <f t="shared" si="6"/>
        <v>-0.138346621460546</v>
      </c>
      <c r="S28">
        <f t="shared" si="7"/>
        <v>-276.275808</v>
      </c>
      <c r="T28">
        <f t="shared" si="8"/>
        <v>3.253</v>
      </c>
      <c r="V28" t="s">
        <v>43</v>
      </c>
      <c r="W28">
        <v>493.09</v>
      </c>
      <c r="X28">
        <v>4.05</v>
      </c>
      <c r="Y28" s="1">
        <f t="shared" si="9"/>
        <v>-0.19679012345679</v>
      </c>
      <c r="Z28">
        <f t="shared" si="10"/>
        <v>-392.99273</v>
      </c>
      <c r="AA28">
        <f t="shared" si="11"/>
        <v>3.253</v>
      </c>
    </row>
    <row r="29" spans="1:27">
      <c r="A29" t="s">
        <v>39</v>
      </c>
      <c r="B29">
        <v>718.99</v>
      </c>
      <c r="C29">
        <v>2.7775</v>
      </c>
      <c r="D29" s="1">
        <f t="shared" si="0"/>
        <v>-0.319171917191719</v>
      </c>
      <c r="E29">
        <f t="shared" si="1"/>
        <v>-637.384635</v>
      </c>
      <c r="F29">
        <f t="shared" si="2"/>
        <v>1.891</v>
      </c>
      <c r="L29">
        <f t="shared" si="4"/>
        <v>0</v>
      </c>
      <c r="O29" t="s">
        <v>44</v>
      </c>
      <c r="P29">
        <v>913.21</v>
      </c>
      <c r="Q29">
        <v>3.8269</v>
      </c>
      <c r="R29" s="1">
        <f t="shared" si="6"/>
        <v>-0.149964723405367</v>
      </c>
      <c r="S29">
        <f t="shared" si="7"/>
        <v>-524.091219</v>
      </c>
      <c r="T29">
        <f t="shared" si="8"/>
        <v>3.253</v>
      </c>
      <c r="V29" t="s">
        <v>44</v>
      </c>
      <c r="W29">
        <v>841.3</v>
      </c>
      <c r="X29">
        <v>4.154</v>
      </c>
      <c r="Y29" s="1">
        <f t="shared" si="9"/>
        <v>-0.216899374097256</v>
      </c>
      <c r="Z29">
        <f t="shared" si="10"/>
        <v>-758.0113</v>
      </c>
      <c r="AA29">
        <f t="shared" si="11"/>
        <v>3.253</v>
      </c>
    </row>
    <row r="30" spans="1:27">
      <c r="A30" t="s">
        <v>41</v>
      </c>
      <c r="B30">
        <v>700.21</v>
      </c>
      <c r="C30">
        <v>2.852</v>
      </c>
      <c r="D30" s="1">
        <f t="shared" si="0"/>
        <v>-0.33695652173913</v>
      </c>
      <c r="E30">
        <f t="shared" si="1"/>
        <v>-672.90181</v>
      </c>
      <c r="F30">
        <f t="shared" si="2"/>
        <v>1.891</v>
      </c>
      <c r="L30">
        <f t="shared" si="4"/>
        <v>0</v>
      </c>
      <c r="O30" t="s">
        <v>45</v>
      </c>
      <c r="P30">
        <v>755.6</v>
      </c>
      <c r="Q30">
        <v>3.9644</v>
      </c>
      <c r="R30" s="1">
        <f t="shared" si="6"/>
        <v>-0.179447079003128</v>
      </c>
      <c r="S30">
        <f t="shared" si="7"/>
        <v>-537.53384</v>
      </c>
      <c r="T30">
        <f t="shared" si="8"/>
        <v>3.253</v>
      </c>
      <c r="V30" t="s">
        <v>45</v>
      </c>
      <c r="W30">
        <v>695.98</v>
      </c>
      <c r="X30">
        <v>4.304</v>
      </c>
      <c r="Y30" s="1">
        <f t="shared" si="9"/>
        <v>-0.244191449814126</v>
      </c>
      <c r="Z30">
        <f t="shared" si="10"/>
        <v>-731.47498</v>
      </c>
      <c r="AA30">
        <f t="shared" si="11"/>
        <v>3.253</v>
      </c>
    </row>
    <row r="31" spans="1:27">
      <c r="A31" t="s">
        <v>42</v>
      </c>
      <c r="B31">
        <v>673.59</v>
      </c>
      <c r="C31">
        <v>2.9647</v>
      </c>
      <c r="D31" s="1">
        <f t="shared" si="0"/>
        <v>-0.362161432859986</v>
      </c>
      <c r="E31">
        <f t="shared" si="1"/>
        <v>-723.233583</v>
      </c>
      <c r="F31">
        <f t="shared" si="2"/>
        <v>1.891</v>
      </c>
      <c r="L31">
        <f t="shared" si="4"/>
        <v>0</v>
      </c>
      <c r="O31" t="s">
        <v>46</v>
      </c>
      <c r="P31">
        <v>2368.98</v>
      </c>
      <c r="Q31">
        <v>4.1306</v>
      </c>
      <c r="R31" s="1">
        <f t="shared" si="6"/>
        <v>-0.212463080424151</v>
      </c>
      <c r="S31">
        <f t="shared" si="7"/>
        <v>-2079.016848</v>
      </c>
      <c r="T31">
        <f t="shared" si="8"/>
        <v>3.253</v>
      </c>
      <c r="V31" t="s">
        <v>47</v>
      </c>
      <c r="W31" s="2">
        <v>2001.45</v>
      </c>
      <c r="X31">
        <v>4.49</v>
      </c>
      <c r="Y31" s="1">
        <f t="shared" si="9"/>
        <v>-0.275501113585746</v>
      </c>
      <c r="Z31">
        <f t="shared" si="10"/>
        <v>-2475.79365</v>
      </c>
      <c r="AA31">
        <f t="shared" si="11"/>
        <v>3.253</v>
      </c>
    </row>
    <row r="32" spans="1:27">
      <c r="A32" t="s">
        <v>44</v>
      </c>
      <c r="B32">
        <v>638.28</v>
      </c>
      <c r="C32">
        <v>3.1287</v>
      </c>
      <c r="D32" s="1">
        <f t="shared" si="0"/>
        <v>-0.395595614792086</v>
      </c>
      <c r="E32">
        <f t="shared" si="1"/>
        <v>-789.999156</v>
      </c>
      <c r="F32">
        <f t="shared" si="2"/>
        <v>1.891</v>
      </c>
      <c r="L32">
        <f t="shared" si="4"/>
        <v>0</v>
      </c>
    </row>
    <row r="33" spans="1:12">
      <c r="A33" t="s">
        <v>45</v>
      </c>
      <c r="B33">
        <v>604.88</v>
      </c>
      <c r="C33">
        <v>3.3015</v>
      </c>
      <c r="D33" s="1">
        <f t="shared" si="0"/>
        <v>-0.427230046948357</v>
      </c>
      <c r="E33">
        <f t="shared" si="1"/>
        <v>-853.18324</v>
      </c>
      <c r="F33">
        <f t="shared" si="2"/>
        <v>1.891</v>
      </c>
      <c r="L33">
        <f t="shared" si="4"/>
        <v>0</v>
      </c>
    </row>
    <row r="34" spans="1:12">
      <c r="A34" t="s">
        <v>47</v>
      </c>
      <c r="B34">
        <v>574.35</v>
      </c>
      <c r="C34">
        <v>3.477</v>
      </c>
      <c r="D34" s="1">
        <f t="shared" si="0"/>
        <v>-0.456140350877193</v>
      </c>
      <c r="E34">
        <f t="shared" si="1"/>
        <v>-910.9191</v>
      </c>
      <c r="F34">
        <f t="shared" si="2"/>
        <v>1.891</v>
      </c>
      <c r="L34">
        <f t="shared" si="4"/>
        <v>0</v>
      </c>
    </row>
    <row r="35" spans="1:12">
      <c r="A35" t="s">
        <v>46</v>
      </c>
      <c r="B35">
        <v>577</v>
      </c>
      <c r="C35">
        <v>3.461</v>
      </c>
      <c r="D35" s="1">
        <f t="shared" si="0"/>
        <v>-0.453626119618607</v>
      </c>
      <c r="E35">
        <f t="shared" si="1"/>
        <v>-905.89</v>
      </c>
      <c r="F35">
        <f t="shared" si="2"/>
        <v>1.891</v>
      </c>
      <c r="L35">
        <f t="shared" si="4"/>
        <v>0</v>
      </c>
    </row>
    <row r="36" spans="1:12">
      <c r="A36" t="s">
        <v>48</v>
      </c>
      <c r="B36">
        <v>1388.2</v>
      </c>
      <c r="C36">
        <v>1.7982</v>
      </c>
      <c r="D36" s="1">
        <f t="shared" si="0"/>
        <v>0.0516071627182738</v>
      </c>
      <c r="E36">
        <f t="shared" si="1"/>
        <v>128.82496</v>
      </c>
      <c r="F36">
        <f t="shared" si="2"/>
        <v>1.891</v>
      </c>
    </row>
  </sheetData>
  <sortState ref="A3:F34">
    <sortCondition ref="A2" descending="1"/>
  </sortState>
  <conditionalFormatting sqref="D3:D36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K3:K17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R3:R31">
    <cfRule type="cellIs" dxfId="0" priority="3" operator="lessThan">
      <formula>0</formula>
    </cfRule>
    <cfRule type="cellIs" dxfId="2" priority="4" operator="greaterThan">
      <formula>0</formula>
    </cfRule>
  </conditionalFormatting>
  <conditionalFormatting sqref="Y3:Y31">
    <cfRule type="cellIs" dxfId="0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Zhuang</dc:creator>
  <cp:lastModifiedBy>z</cp:lastModifiedBy>
  <dcterms:created xsi:type="dcterms:W3CDTF">2015-06-05T18:19:00Z</dcterms:created>
  <dcterms:modified xsi:type="dcterms:W3CDTF">2026-02-26T03:19:45Z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56E102A856914A1E8A2C7698A4B44A25_12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